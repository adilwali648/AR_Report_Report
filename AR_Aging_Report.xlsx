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65ed58afa601ead/Desktop/New folder/"/>
    </mc:Choice>
  </mc:AlternateContent>
  <xr:revisionPtr revIDLastSave="14" documentId="8_{4A92D8F4-445D-442E-B346-C68B62F85C5B}" xr6:coauthVersionLast="47" xr6:coauthVersionMax="47" xr10:uidLastSave="{C5BC4D28-BC97-4D95-B707-91F82D61107C}"/>
  <bookViews>
    <workbookView xWindow="-110" yWindow="-110" windowWidth="19420" windowHeight="10300" tabRatio="500" activeTab="3" xr2:uid="{00000000-000D-0000-FFFF-FFFF00000000}"/>
  </bookViews>
  <sheets>
    <sheet name="Invoice Data" sheetId="1" r:id="rId1"/>
    <sheet name="Aging Analysis" sheetId="2" r:id="rId2"/>
    <sheet name="Customer Ledger" sheetId="3" r:id="rId3"/>
    <sheet name="MIS Report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6" i="1" l="1"/>
  <c r="H8" i="1"/>
  <c r="H14" i="1"/>
  <c r="H15" i="1"/>
  <c r="H18" i="1"/>
  <c r="G16" i="1"/>
  <c r="B9" i="4"/>
  <c r="B11" i="4"/>
  <c r="B8" i="4"/>
  <c r="B7" i="4"/>
  <c r="G15" i="3"/>
  <c r="E15" i="3"/>
  <c r="D15" i="3"/>
  <c r="C15" i="3"/>
  <c r="B15" i="3"/>
  <c r="G14" i="3"/>
  <c r="D14" i="3"/>
  <c r="C14" i="3"/>
  <c r="E14" i="3" s="1"/>
  <c r="B14" i="3"/>
  <c r="G13" i="3"/>
  <c r="D13" i="3"/>
  <c r="C13" i="3"/>
  <c r="E13" i="3" s="1"/>
  <c r="B13" i="3"/>
  <c r="G12" i="3"/>
  <c r="D12" i="3"/>
  <c r="C12" i="3"/>
  <c r="E12" i="3" s="1"/>
  <c r="B12" i="3"/>
  <c r="G11" i="3"/>
  <c r="D11" i="3"/>
  <c r="C11" i="3"/>
  <c r="E11" i="3" s="1"/>
  <c r="B11" i="3"/>
  <c r="G10" i="3"/>
  <c r="E10" i="3"/>
  <c r="D10" i="3"/>
  <c r="C10" i="3"/>
  <c r="B10" i="3"/>
  <c r="G9" i="3"/>
  <c r="E9" i="3"/>
  <c r="D9" i="3"/>
  <c r="C9" i="3"/>
  <c r="B9" i="3"/>
  <c r="G8" i="3"/>
  <c r="D8" i="3"/>
  <c r="C8" i="3"/>
  <c r="E8" i="3" s="1"/>
  <c r="B8" i="3"/>
  <c r="G7" i="3"/>
  <c r="D7" i="3"/>
  <c r="C7" i="3"/>
  <c r="E7" i="3" s="1"/>
  <c r="B7" i="3"/>
  <c r="G6" i="3"/>
  <c r="D6" i="3"/>
  <c r="C6" i="3"/>
  <c r="E6" i="3" s="1"/>
  <c r="B6" i="3"/>
  <c r="G5" i="3"/>
  <c r="D5" i="3"/>
  <c r="E5" i="3" s="1"/>
  <c r="C5" i="3"/>
  <c r="B5" i="3"/>
  <c r="G4" i="3"/>
  <c r="D4" i="3"/>
  <c r="E4" i="3" s="1"/>
  <c r="C4" i="3"/>
  <c r="B4" i="3"/>
  <c r="G3" i="3"/>
  <c r="D3" i="3"/>
  <c r="D16" i="3" s="1"/>
  <c r="C3" i="3"/>
  <c r="E3" i="3" s="1"/>
  <c r="B3" i="3"/>
  <c r="B2" i="2"/>
  <c r="G22" i="1"/>
  <c r="G21" i="1"/>
  <c r="H21" i="1" s="1"/>
  <c r="G20" i="1"/>
  <c r="J20" i="1" s="1"/>
  <c r="G19" i="1"/>
  <c r="G18" i="1"/>
  <c r="G17" i="1"/>
  <c r="G15" i="1"/>
  <c r="G14" i="1"/>
  <c r="G13" i="1"/>
  <c r="J13" i="1" s="1"/>
  <c r="F4" i="3" s="1"/>
  <c r="H4" i="3" s="1"/>
  <c r="G12" i="1"/>
  <c r="G11" i="1"/>
  <c r="G10" i="1"/>
  <c r="G9" i="1"/>
  <c r="H9" i="1" s="1"/>
  <c r="G8" i="1"/>
  <c r="G7" i="1"/>
  <c r="J7" i="1" s="1"/>
  <c r="G6" i="1"/>
  <c r="G5" i="1"/>
  <c r="G4" i="1"/>
  <c r="J4" i="1" s="1"/>
  <c r="G3" i="1"/>
  <c r="E16" i="3" l="1"/>
  <c r="H5" i="1"/>
  <c r="J5" i="1" s="1"/>
  <c r="H17" i="1"/>
  <c r="I3" i="1"/>
  <c r="I7" i="1"/>
  <c r="I13" i="1"/>
  <c r="I21" i="1"/>
  <c r="J3" i="1"/>
  <c r="C16" i="3"/>
  <c r="H3" i="1"/>
  <c r="H7" i="1"/>
  <c r="H11" i="1"/>
  <c r="J11" i="1" s="1"/>
  <c r="F7" i="3" s="1"/>
  <c r="H7" i="3" s="1"/>
  <c r="H13" i="1"/>
  <c r="J15" i="1"/>
  <c r="F15" i="3" s="1"/>
  <c r="H15" i="3" s="1"/>
  <c r="H19" i="1"/>
  <c r="J19" i="1" s="1"/>
  <c r="I9" i="1"/>
  <c r="J9" i="1"/>
  <c r="F11" i="3" s="1"/>
  <c r="H11" i="3" s="1"/>
  <c r="J21" i="1"/>
  <c r="F14" i="3" s="1"/>
  <c r="H14" i="3" s="1"/>
  <c r="H4" i="1"/>
  <c r="I6" i="1"/>
  <c r="I8" i="1"/>
  <c r="H10" i="1"/>
  <c r="J10" i="1" s="1"/>
  <c r="H12" i="1"/>
  <c r="J12" i="1" s="1"/>
  <c r="F3" i="3" s="1"/>
  <c r="H16" i="1"/>
  <c r="I16" i="1" s="1"/>
  <c r="J18" i="1"/>
  <c r="H20" i="1"/>
  <c r="H22" i="1"/>
  <c r="J22" i="1" s="1"/>
  <c r="F5" i="3" s="1"/>
  <c r="H5" i="3" s="1"/>
  <c r="I4" i="1"/>
  <c r="I20" i="1"/>
  <c r="I17" i="1" l="1"/>
  <c r="L17" i="1" s="1"/>
  <c r="J17" i="1"/>
  <c r="F6" i="3" s="1"/>
  <c r="H6" i="3" s="1"/>
  <c r="J14" i="1"/>
  <c r="F12" i="3" s="1"/>
  <c r="H12" i="3" s="1"/>
  <c r="I14" i="1"/>
  <c r="I11" i="1"/>
  <c r="K11" i="1" s="1"/>
  <c r="I5" i="1"/>
  <c r="K5" i="1" s="1"/>
  <c r="J6" i="1"/>
  <c r="F10" i="3" s="1"/>
  <c r="H10" i="3" s="1"/>
  <c r="I19" i="1"/>
  <c r="L19" i="1" s="1"/>
  <c r="J8" i="1"/>
  <c r="F9" i="3" s="1"/>
  <c r="H9" i="3" s="1"/>
  <c r="I15" i="1"/>
  <c r="K15" i="1" s="1"/>
  <c r="L16" i="1"/>
  <c r="K16" i="1"/>
  <c r="H3" i="3"/>
  <c r="L6" i="1"/>
  <c r="K6" i="1"/>
  <c r="L8" i="1"/>
  <c r="K8" i="1"/>
  <c r="L4" i="1"/>
  <c r="K4" i="1"/>
  <c r="K19" i="1"/>
  <c r="L9" i="1"/>
  <c r="K9" i="1"/>
  <c r="L13" i="1"/>
  <c r="K13" i="1"/>
  <c r="I22" i="1"/>
  <c r="L20" i="1"/>
  <c r="K20" i="1"/>
  <c r="J16" i="1"/>
  <c r="F8" i="3" s="1"/>
  <c r="H8" i="3" s="1"/>
  <c r="B20" i="2"/>
  <c r="I18" i="1"/>
  <c r="L7" i="1"/>
  <c r="K7" i="1"/>
  <c r="L3" i="1"/>
  <c r="K3" i="1"/>
  <c r="I12" i="1"/>
  <c r="I10" i="1"/>
  <c r="F13" i="3"/>
  <c r="H13" i="3" s="1"/>
  <c r="L21" i="1"/>
  <c r="K21" i="1"/>
  <c r="K17" i="1" l="1"/>
  <c r="L15" i="1"/>
  <c r="B19" i="2"/>
  <c r="L11" i="1"/>
  <c r="L5" i="1"/>
  <c r="C6" i="2"/>
  <c r="B10" i="4"/>
  <c r="B9" i="2"/>
  <c r="B16" i="2"/>
  <c r="C11" i="2"/>
  <c r="C10" i="2"/>
  <c r="B12" i="4"/>
  <c r="B17" i="2"/>
  <c r="B18" i="2"/>
  <c r="C9" i="2"/>
  <c r="B13" i="4"/>
  <c r="L18" i="1"/>
  <c r="K18" i="1"/>
  <c r="B7" i="2"/>
  <c r="L10" i="1"/>
  <c r="K10" i="1"/>
  <c r="L12" i="1"/>
  <c r="K12" i="1"/>
  <c r="B8" i="2"/>
  <c r="L22" i="1"/>
  <c r="K22" i="1"/>
  <c r="B6" i="2"/>
  <c r="B10" i="2"/>
  <c r="L14" i="1"/>
  <c r="K14" i="1"/>
  <c r="B11" i="2"/>
  <c r="F16" i="3"/>
  <c r="B21" i="2"/>
  <c r="C7" i="2"/>
  <c r="C8" i="2"/>
  <c r="C13" i="2" l="1"/>
  <c r="D6" i="2"/>
  <c r="D8" i="2"/>
  <c r="D7" i="2"/>
  <c r="E11" i="2"/>
  <c r="B13" i="2"/>
  <c r="D11" i="2"/>
  <c r="E6" i="2"/>
  <c r="E9" i="2"/>
  <c r="E7" i="2"/>
  <c r="D10" i="2"/>
  <c r="E10" i="2"/>
  <c r="E8" i="2"/>
  <c r="D9" i="2"/>
</calcChain>
</file>

<file path=xl/sharedStrings.xml><?xml version="1.0" encoding="utf-8"?>
<sst xmlns="http://schemas.openxmlformats.org/spreadsheetml/2006/main" count="171" uniqueCount="127">
  <si>
    <t>ACCOUNTS RECEIVABLE — INVOICE TRACKER</t>
  </si>
  <si>
    <t>Invoice No.</t>
  </si>
  <si>
    <t>Customer Name</t>
  </si>
  <si>
    <t>Invoice Date</t>
  </si>
  <si>
    <t>Due Date</t>
  </si>
  <si>
    <t>Amount (₹)</t>
  </si>
  <si>
    <t>Amount Paid (₹)</t>
  </si>
  <si>
    <t>Balance Due (₹)</t>
  </si>
  <si>
    <t>Days Overdue</t>
  </si>
  <si>
    <t>Aging Bucket</t>
  </si>
  <si>
    <t>Status</t>
  </si>
  <si>
    <t>Remarks</t>
  </si>
  <si>
    <t>Priority</t>
  </si>
  <si>
    <t>INV-1001</t>
  </si>
  <si>
    <t>Reliance Retail</t>
  </si>
  <si>
    <t>INV-1002</t>
  </si>
  <si>
    <t>Tata Consumer</t>
  </si>
  <si>
    <t>INV-1003</t>
  </si>
  <si>
    <t>Hindustan Foods</t>
  </si>
  <si>
    <t>INV-1004</t>
  </si>
  <si>
    <t>Marico Ltd</t>
  </si>
  <si>
    <t>INV-1005</t>
  </si>
  <si>
    <t>Dabur India</t>
  </si>
  <si>
    <t>INV-1006</t>
  </si>
  <si>
    <t>ITC Ltd</t>
  </si>
  <si>
    <t>INV-1007</t>
  </si>
  <si>
    <t>Nestle India</t>
  </si>
  <si>
    <t>INV-1008</t>
  </si>
  <si>
    <t>Emami Ltd</t>
  </si>
  <si>
    <t>INV-1009</t>
  </si>
  <si>
    <t>Godrej Consumer</t>
  </si>
  <si>
    <t>INV-1010</t>
  </si>
  <si>
    <t>Britannia Inds</t>
  </si>
  <si>
    <t>INV-1011</t>
  </si>
  <si>
    <t>Colgate Palmolive</t>
  </si>
  <si>
    <t>INV-1012</t>
  </si>
  <si>
    <t>P&amp;G India</t>
  </si>
  <si>
    <t>INV-1013</t>
  </si>
  <si>
    <t>Varun Beverages</t>
  </si>
  <si>
    <t>INV-1014</t>
  </si>
  <si>
    <t>INV-1015</t>
  </si>
  <si>
    <t>INV-1016</t>
  </si>
  <si>
    <t>INV-1017</t>
  </si>
  <si>
    <t>INV-1018</t>
  </si>
  <si>
    <t>INV-1019</t>
  </si>
  <si>
    <t>INV-1020</t>
  </si>
  <si>
    <t>ACCOUNTS RECEIVABLE — AGING ANALYSIS REPORT</t>
  </si>
  <si>
    <t>As on Date:</t>
  </si>
  <si>
    <t>AGING BUCKET SUMMARY</t>
  </si>
  <si>
    <t>No. of Invoices</t>
  </si>
  <si>
    <t>Outstanding Amount (₹)</t>
  </si>
  <si>
    <t>% of Total</t>
  </si>
  <si>
    <t>Cumulative %</t>
  </si>
  <si>
    <t>Risk Level</t>
  </si>
  <si>
    <t>Action Required</t>
  </si>
  <si>
    <t>Current (Not Due)</t>
  </si>
  <si>
    <t>Low</t>
  </si>
  <si>
    <t>Within credit period</t>
  </si>
  <si>
    <t>1-30 Days</t>
  </si>
  <si>
    <t>Send reminders</t>
  </si>
  <si>
    <t>31-60 Days</t>
  </si>
  <si>
    <t>Medium</t>
  </si>
  <si>
    <t>Follow-up calls</t>
  </si>
  <si>
    <t>61-90 Days</t>
  </si>
  <si>
    <t>High</t>
  </si>
  <si>
    <t>Escalate to manager</t>
  </si>
  <si>
    <t>90+ Days</t>
  </si>
  <si>
    <t>Critical</t>
  </si>
  <si>
    <t>Legal / write-off</t>
  </si>
  <si>
    <t>Paid</t>
  </si>
  <si>
    <t>-</t>
  </si>
  <si>
    <t>No action needed</t>
  </si>
  <si>
    <t>TOTAL</t>
  </si>
  <si>
    <t>KEY METRICS</t>
  </si>
  <si>
    <t>Total Receivables (₹)</t>
  </si>
  <si>
    <t>Total Overdue (₹)</t>
  </si>
  <si>
    <t>No. of Overdue Invoices</t>
  </si>
  <si>
    <t>Collection Efficiency (%)</t>
  </si>
  <si>
    <t>Avg Days Overdue</t>
  </si>
  <si>
    <t>Critical Accounts (90+ days)</t>
  </si>
  <si>
    <t>CUSTOMER-WISE OUTSTANDING LEDGER</t>
  </si>
  <si>
    <t>Total Invoices</t>
  </si>
  <si>
    <t>Total Invoiced (₹)</t>
  </si>
  <si>
    <t>Total Paid (₹)</t>
  </si>
  <si>
    <t>Overdue Amount (₹)</t>
  </si>
  <si>
    <t>Oldest Due Date</t>
  </si>
  <si>
    <t>Credit Risk</t>
  </si>
  <si>
    <t>MONTHLY MIS REPORT — ACCOUNTS RECEIVABLE</t>
  </si>
  <si>
    <t>Report Period:</t>
  </si>
  <si>
    <t>March 2025</t>
  </si>
  <si>
    <t>EXECUTIVE SUMMARY</t>
  </si>
  <si>
    <t>Metric</t>
  </si>
  <si>
    <t>Value</t>
  </si>
  <si>
    <t>Benchmark</t>
  </si>
  <si>
    <t>Variance</t>
  </si>
  <si>
    <t>Total Invoices Raised</t>
  </si>
  <si>
    <t>20</t>
  </si>
  <si>
    <t>Within target</t>
  </si>
  <si>
    <t>Gross Invoiced Amount</t>
  </si>
  <si>
    <t>₹15,00,000</t>
  </si>
  <si>
    <t>Review needed</t>
  </si>
  <si>
    <t>Total Amount Collected</t>
  </si>
  <si>
    <t>₹12,00,000</t>
  </si>
  <si>
    <t>Total Outstanding Balance</t>
  </si>
  <si>
    <t>₹3,00,000</t>
  </si>
  <si>
    <t>Total Overdue Amount</t>
  </si>
  <si>
    <t>₹2,00,000</t>
  </si>
  <si>
    <t>Collection Efficiency</t>
  </si>
  <si>
    <t>80%</t>
  </si>
  <si>
    <t>No. of Overdue Accounts</t>
  </si>
  <si>
    <t>5</t>
  </si>
  <si>
    <t>No. of Critical Accounts (90+d)</t>
  </si>
  <si>
    <t>0</t>
  </si>
  <si>
    <t>COLLECTION ACTION PLAN — TOP 5 OVERDUE ACCOUNTS</t>
  </si>
  <si>
    <t>Customer</t>
  </si>
  <si>
    <t>Outstanding (₹)</t>
  </si>
  <si>
    <t>Action</t>
  </si>
  <si>
    <t>Target Date</t>
  </si>
  <si>
    <t>Send legal notice</t>
  </si>
  <si>
    <t>10-Apr-2025</t>
  </si>
  <si>
    <t>Final payment reminder</t>
  </si>
  <si>
    <t>05-Apr-2025</t>
  </si>
  <si>
    <t>Escalate to management</t>
  </si>
  <si>
    <t>07-Apr-2025</t>
  </si>
  <si>
    <t>Recovery agent assigned</t>
  </si>
  <si>
    <t>15-Apr-2025</t>
  </si>
  <si>
    <t>Send payment reminder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</si>
</sst>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yy"/>
    <numFmt numFmtId="165" formatCode="\₹#,##0"/>
    <numFmt numFmtId="166" formatCode="0.0%"/>
    <numFmt numFmtId="167" formatCode="0.0"/>
    <numFmt numFmtId="168" formatCode="#"/>
  </numFmts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0000FF"/>
      <name val="Arial"/>
      <charset val="1"/>
    </font>
    <font>
      <b/>
      <sz val="11"/>
      <color rgb="FFFFFFFF"/>
      <name val="Arial"/>
      <charset val="1"/>
    </font>
    <font>
      <b/>
      <sz val="11"/>
      <color rgb="FF2E75B6"/>
      <name val="Arial"/>
      <charset val="1"/>
    </font>
    <font>
      <b/>
      <sz val="10"/>
      <color rgb="FF2E75B6"/>
      <name val="Arial"/>
      <charset val="1"/>
    </font>
    <font>
      <b/>
      <sz val="10"/>
      <color rgb="FFFF0000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9F9F9"/>
      </patternFill>
    </fill>
    <fill>
      <patternFill patternType="solid">
        <fgColor rgb="FF595959"/>
        <bgColor rgb="FF333333"/>
      </patternFill>
    </fill>
    <fill>
      <patternFill patternType="solid">
        <fgColor rgb="FFC7C7C7"/>
        <bgColor rgb="FFBFBFBF"/>
      </patternFill>
    </fill>
    <fill>
      <patternFill patternType="solid">
        <fgColor rgb="FFF9F9F9"/>
        <bgColor rgb="FFFFFFFF"/>
      </patternFill>
    </fill>
    <fill>
      <patternFill patternType="solid">
        <fgColor rgb="FF70AD47"/>
        <bgColor rgb="FF99CC00"/>
      </patternFill>
    </fill>
    <fill>
      <patternFill patternType="solid">
        <fgColor rgb="FFFFFFFF"/>
        <bgColor rgb="FFF9F9F9"/>
      </patternFill>
    </fill>
    <fill>
      <patternFill patternType="solid">
        <fgColor rgb="FFFFC000"/>
        <bgColor rgb="FFFF9900"/>
      </patternFill>
    </fill>
    <fill>
      <patternFill patternType="solid">
        <fgColor rgb="FFED7D31"/>
        <bgColor rgb="FFFF8080"/>
      </patternFill>
    </fill>
    <fill>
      <patternFill patternType="solid">
        <fgColor rgb="FFFF0000"/>
        <bgColor rgb="FF993300"/>
      </patternFill>
    </fill>
    <fill>
      <patternFill patternType="solid">
        <fgColor rgb="FF00B050"/>
        <bgColor rgb="FF008080"/>
      </patternFill>
    </fill>
    <fill>
      <patternFill patternType="solid">
        <fgColor rgb="FFD6E4F0"/>
        <bgColor rgb="FFF2F2F2"/>
      </patternFill>
    </fill>
    <fill>
      <patternFill patternType="solid">
        <fgColor rgb="FFFFE0E0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164" fontId="5" fillId="0" borderId="0" xfId="0" applyNumberFormat="1" applyFont="1"/>
    <xf numFmtId="0" fontId="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165" fontId="3" fillId="7" borderId="1" xfId="0" applyNumberFormat="1" applyFont="1" applyFill="1" applyBorder="1" applyAlignment="1">
      <alignment horizontal="center" vertical="center" wrapText="1"/>
    </xf>
    <xf numFmtId="166" fontId="3" fillId="7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165" fontId="3" fillId="9" borderId="1" xfId="0" applyNumberFormat="1" applyFont="1" applyFill="1" applyBorder="1" applyAlignment="1">
      <alignment horizontal="center" vertical="center" wrapText="1"/>
    </xf>
    <xf numFmtId="166" fontId="3" fillId="9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165" fontId="4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8" fillId="0" borderId="0" xfId="0" applyFont="1"/>
    <xf numFmtId="0" fontId="4" fillId="4" borderId="1" xfId="0" applyFont="1" applyFill="1" applyBorder="1" applyAlignment="1">
      <alignment horizontal="left" vertical="center"/>
    </xf>
    <xf numFmtId="168" fontId="8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5" fontId="8" fillId="0" borderId="1" xfId="0" applyNumberFormat="1" applyFont="1" applyBorder="1" applyAlignment="1">
      <alignment horizontal="center" vertical="center" wrapText="1"/>
    </xf>
    <xf numFmtId="165" fontId="8" fillId="4" borderId="1" xfId="0" applyNumberFormat="1" applyFont="1" applyFill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1" fontId="8" fillId="4" borderId="1" xfId="0" applyNumberFormat="1" applyFont="1" applyFill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1" fontId="7" fillId="9" borderId="1" xfId="0" applyNumberFormat="1" applyFont="1" applyFill="1" applyBorder="1" applyAlignment="1">
      <alignment horizontal="center" vertical="center" wrapText="1"/>
    </xf>
    <xf numFmtId="166" fontId="7" fillId="9" borderId="1" xfId="0" applyNumberFormat="1" applyFont="1" applyFill="1" applyBorder="1" applyAlignment="1">
      <alignment horizontal="center" vertical="center" wrapText="1"/>
    </xf>
    <xf numFmtId="167" fontId="7" fillId="9" borderId="1" xfId="0" applyNumberFormat="1" applyFont="1" applyFill="1" applyBorder="1" applyAlignment="1">
      <alignment horizontal="center" vertical="center" wrapText="1"/>
    </xf>
    <xf numFmtId="165" fontId="7" fillId="9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9F9F9"/>
      <rgbColor rgb="FFD6E4F0"/>
      <rgbColor rgb="FF660066"/>
      <rgbColor rgb="FFFF8080"/>
      <rgbColor rgb="FF0066CC"/>
      <rgbColor rgb="FFC7C7C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E0E0"/>
      <rgbColor rgb="FF2E75B6"/>
      <rgbColor rgb="FF33CCCC"/>
      <rgbColor rgb="FF99CC00"/>
      <rgbColor rgb="FFFFC000"/>
      <rgbColor rgb="FFFF9900"/>
      <rgbColor rgb="FFED7D31"/>
      <rgbColor rgb="FF595959"/>
      <rgbColor rgb="FF70AD47"/>
      <rgbColor rgb="FF1F3864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showGridLines="0" zoomScaleNormal="100" workbookViewId="0">
      <pane ySplit="2" topLeftCell="A3" activePane="bottomLeft" state="frozen"/>
      <selection pane="bottomLeft" activeCell="H7" sqref="H7"/>
    </sheetView>
  </sheetViews>
  <sheetFormatPr defaultColWidth="8.6328125" defaultRowHeight="14.5" x14ac:dyDescent="0.35"/>
  <cols>
    <col min="1" max="1" width="14" customWidth="1"/>
    <col min="2" max="2" width="22" customWidth="1"/>
    <col min="3" max="4" width="14" customWidth="1"/>
    <col min="5" max="7" width="15" customWidth="1"/>
    <col min="8" max="8" width="13" customWidth="1"/>
    <col min="9" max="9" width="16" customWidth="1"/>
    <col min="10" max="10" width="12" customWidth="1"/>
    <col min="11" max="11" width="20" customWidth="1"/>
    <col min="12" max="12" width="10" customWidth="1"/>
  </cols>
  <sheetData>
    <row r="1" spans="1:12" ht="30" customHeight="1" x14ac:dyDescent="0.35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27.75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35">
      <c r="A3" s="2" t="s">
        <v>13</v>
      </c>
      <c r="B3" s="3" t="s">
        <v>14</v>
      </c>
      <c r="C3" s="4">
        <v>45667</v>
      </c>
      <c r="D3" s="4">
        <v>45697</v>
      </c>
      <c r="E3" s="5">
        <v>85000</v>
      </c>
      <c r="F3" s="5">
        <v>85000</v>
      </c>
      <c r="G3" s="5">
        <f t="shared" ref="G3:G22" si="0">E3-F3</f>
        <v>0</v>
      </c>
      <c r="H3" s="6">
        <f t="shared" ref="H3:H22" ca="1" si="1">IF(G3&gt;0, MAX(0, TODAY()-D3), 0)</f>
        <v>0</v>
      </c>
      <c r="I3" s="2" t="str">
        <f t="shared" ref="I3:I22" si="2">IF(G3&lt;=0,"Paid",IF(H3&lt;=0,"Current (Not Due)",IF(H3&lt;=30,"1-30 Days",IF(H3&lt;=60,"31-60 Days",IF(H3&lt;=90,"61-90 Days","90+ Days")))))</f>
        <v>Paid</v>
      </c>
      <c r="J3" s="2" t="str">
        <f t="shared" ref="J3:J22" si="3">IF(G3&lt;=0,"Paid",IF(H3&lt;=0,"Current","Overdue"))</f>
        <v>Paid</v>
      </c>
      <c r="K3" s="3" t="str">
        <f t="shared" ref="K3:K22" si="4">IF(I3="Paid","Payment received in full",IF(I3="Current (Not Due)","Within credit period",IF(I3="1-30 Days","Send payment reminder",IF(I3="31-60 Days","Follow-up call required",IF(I3="61-90 Days","Escalate to manager","Legal action / write-off review")))))</f>
        <v>Payment received in full</v>
      </c>
      <c r="L3" s="2" t="str">
        <f t="shared" ref="L3:L22" si="5">IF(I3="Paid","-",IF(I3="Current (Not Due)","Low",IF(I3="1-30 Days","Low",IF(I3="31-60 Days","Medium",IF(I3="61-90 Days","High","Critical")))))</f>
        <v>-</v>
      </c>
    </row>
    <row r="4" spans="1:12" x14ac:dyDescent="0.35">
      <c r="A4" s="7" t="s">
        <v>15</v>
      </c>
      <c r="B4" s="8" t="s">
        <v>16</v>
      </c>
      <c r="C4" s="9">
        <v>45672</v>
      </c>
      <c r="D4" s="9">
        <v>45702</v>
      </c>
      <c r="E4" s="10">
        <v>120000</v>
      </c>
      <c r="F4" s="10">
        <v>120000</v>
      </c>
      <c r="G4" s="10">
        <f t="shared" si="0"/>
        <v>0</v>
      </c>
      <c r="H4" s="11">
        <f t="shared" ca="1" si="1"/>
        <v>0</v>
      </c>
      <c r="I4" s="7" t="str">
        <f t="shared" si="2"/>
        <v>Paid</v>
      </c>
      <c r="J4" s="7" t="str">
        <f t="shared" si="3"/>
        <v>Paid</v>
      </c>
      <c r="K4" s="8" t="str">
        <f t="shared" si="4"/>
        <v>Payment received in full</v>
      </c>
      <c r="L4" s="7" t="str">
        <f t="shared" si="5"/>
        <v>-</v>
      </c>
    </row>
    <row r="5" spans="1:12" x14ac:dyDescent="0.35">
      <c r="A5" s="2" t="s">
        <v>17</v>
      </c>
      <c r="B5" s="3" t="s">
        <v>18</v>
      </c>
      <c r="C5" s="4">
        <v>45677</v>
      </c>
      <c r="D5" s="4">
        <v>45707</v>
      </c>
      <c r="E5" s="5">
        <v>67500</v>
      </c>
      <c r="F5" s="5">
        <v>0</v>
      </c>
      <c r="G5" s="5">
        <f t="shared" si="0"/>
        <v>67500</v>
      </c>
      <c r="H5" s="6">
        <f t="shared" ca="1" si="1"/>
        <v>406</v>
      </c>
      <c r="I5" s="2" t="str">
        <f t="shared" ca="1" si="2"/>
        <v>90+ Days</v>
      </c>
      <c r="J5" s="2" t="str">
        <f t="shared" ca="1" si="3"/>
        <v>Overdue</v>
      </c>
      <c r="K5" s="3" t="str">
        <f t="shared" ca="1" si="4"/>
        <v>Legal action / write-off review</v>
      </c>
      <c r="L5" s="2" t="str">
        <f t="shared" ca="1" si="5"/>
        <v>Critical</v>
      </c>
    </row>
    <row r="6" spans="1:12" x14ac:dyDescent="0.35">
      <c r="A6" s="7" t="s">
        <v>19</v>
      </c>
      <c r="B6" s="8" t="s">
        <v>20</v>
      </c>
      <c r="C6" s="9">
        <v>45682</v>
      </c>
      <c r="D6" s="9">
        <v>45712</v>
      </c>
      <c r="E6" s="10">
        <v>95000</v>
      </c>
      <c r="F6" s="10">
        <v>50000</v>
      </c>
      <c r="G6" s="10">
        <f t="shared" si="0"/>
        <v>45000</v>
      </c>
      <c r="H6" s="11">
        <f ca="1">IF(G6&gt;0, MAX(0, TODAY()-D6), 0)</f>
        <v>401</v>
      </c>
      <c r="I6" s="7" t="str">
        <f t="shared" ca="1" si="2"/>
        <v>90+ Days</v>
      </c>
      <c r="J6" s="7" t="str">
        <f t="shared" ca="1" si="3"/>
        <v>Overdue</v>
      </c>
      <c r="K6" s="8" t="str">
        <f t="shared" ca="1" si="4"/>
        <v>Legal action / write-off review</v>
      </c>
      <c r="L6" s="7" t="str">
        <f t="shared" ca="1" si="5"/>
        <v>Critical</v>
      </c>
    </row>
    <row r="7" spans="1:12" x14ac:dyDescent="0.35">
      <c r="A7" s="2" t="s">
        <v>21</v>
      </c>
      <c r="B7" s="3" t="s">
        <v>22</v>
      </c>
      <c r="C7" s="4">
        <v>45689</v>
      </c>
      <c r="D7" s="4">
        <v>45718</v>
      </c>
      <c r="E7" s="5">
        <v>43000</v>
      </c>
      <c r="F7" s="5">
        <v>43000</v>
      </c>
      <c r="G7" s="5">
        <f t="shared" si="0"/>
        <v>0</v>
      </c>
      <c r="H7" s="6">
        <f t="shared" ca="1" si="1"/>
        <v>0</v>
      </c>
      <c r="I7" s="2" t="str">
        <f t="shared" si="2"/>
        <v>Paid</v>
      </c>
      <c r="J7" s="2" t="str">
        <f t="shared" si="3"/>
        <v>Paid</v>
      </c>
      <c r="K7" s="3" t="str">
        <f t="shared" si="4"/>
        <v>Payment received in full</v>
      </c>
      <c r="L7" s="2" t="str">
        <f t="shared" si="5"/>
        <v>-</v>
      </c>
    </row>
    <row r="8" spans="1:12" x14ac:dyDescent="0.35">
      <c r="A8" s="7" t="s">
        <v>23</v>
      </c>
      <c r="B8" s="8" t="s">
        <v>24</v>
      </c>
      <c r="C8" s="9">
        <v>45693</v>
      </c>
      <c r="D8" s="9">
        <v>45724</v>
      </c>
      <c r="E8" s="10">
        <v>78000</v>
      </c>
      <c r="F8" s="10">
        <v>0</v>
      </c>
      <c r="G8" s="10">
        <f t="shared" si="0"/>
        <v>78000</v>
      </c>
      <c r="H8" s="11">
        <f ca="1">IF(G8&gt;0, MAX(0, TODAY()-D8), 0)</f>
        <v>389</v>
      </c>
      <c r="I8" s="7" t="str">
        <f ca="1">IF(G8&lt;=0,"Paid",IF(H8&lt;=0,"Current (Not Due)",IF(H8&lt;=30,"1-30 Days",IF(H8&lt;=60,"31-60 Days",IF(H8&lt;=90,"61-90 Days","90+ Days")))))</f>
        <v>90+ Days</v>
      </c>
      <c r="J8" s="7" t="str">
        <f t="shared" ca="1" si="3"/>
        <v>Overdue</v>
      </c>
      <c r="K8" s="8" t="str">
        <f t="shared" ca="1" si="4"/>
        <v>Legal action / write-off review</v>
      </c>
      <c r="L8" s="7" t="str">
        <f t="shared" ca="1" si="5"/>
        <v>Critical</v>
      </c>
    </row>
    <row r="9" spans="1:12" x14ac:dyDescent="0.35">
      <c r="A9" s="2" t="s">
        <v>25</v>
      </c>
      <c r="B9" s="3" t="s">
        <v>26</v>
      </c>
      <c r="C9" s="4">
        <v>45698</v>
      </c>
      <c r="D9" s="4">
        <v>45727</v>
      </c>
      <c r="E9" s="5">
        <v>155000</v>
      </c>
      <c r="F9" s="5">
        <v>155000</v>
      </c>
      <c r="G9" s="5">
        <f t="shared" si="0"/>
        <v>0</v>
      </c>
      <c r="H9" s="6">
        <f t="shared" ca="1" si="1"/>
        <v>0</v>
      </c>
      <c r="I9" s="2" t="str">
        <f t="shared" si="2"/>
        <v>Paid</v>
      </c>
      <c r="J9" s="2" t="str">
        <f t="shared" si="3"/>
        <v>Paid</v>
      </c>
      <c r="K9" s="3" t="str">
        <f t="shared" si="4"/>
        <v>Payment received in full</v>
      </c>
      <c r="L9" s="2" t="str">
        <f t="shared" si="5"/>
        <v>-</v>
      </c>
    </row>
    <row r="10" spans="1:12" x14ac:dyDescent="0.35">
      <c r="A10" s="7" t="s">
        <v>27</v>
      </c>
      <c r="B10" s="8" t="s">
        <v>28</v>
      </c>
      <c r="C10" s="9">
        <v>45700</v>
      </c>
      <c r="D10" s="9">
        <v>45729</v>
      </c>
      <c r="E10" s="10">
        <v>32000</v>
      </c>
      <c r="F10" s="10">
        <v>0</v>
      </c>
      <c r="G10" s="10">
        <f t="shared" si="0"/>
        <v>32000</v>
      </c>
      <c r="H10" s="11">
        <f t="shared" ca="1" si="1"/>
        <v>384</v>
      </c>
      <c r="I10" s="7" t="str">
        <f t="shared" ca="1" si="2"/>
        <v>90+ Days</v>
      </c>
      <c r="J10" s="7" t="str">
        <f t="shared" ca="1" si="3"/>
        <v>Overdue</v>
      </c>
      <c r="K10" s="8" t="str">
        <f t="shared" ca="1" si="4"/>
        <v>Legal action / write-off review</v>
      </c>
      <c r="L10" s="7" t="str">
        <f t="shared" ca="1" si="5"/>
        <v>Critical</v>
      </c>
    </row>
    <row r="11" spans="1:12" x14ac:dyDescent="0.35">
      <c r="A11" s="2" t="s">
        <v>29</v>
      </c>
      <c r="B11" s="3" t="s">
        <v>30</v>
      </c>
      <c r="C11" s="4">
        <v>45703</v>
      </c>
      <c r="D11" s="4">
        <v>45732</v>
      </c>
      <c r="E11" s="5">
        <v>61000</v>
      </c>
      <c r="F11" s="5">
        <v>30000</v>
      </c>
      <c r="G11" s="5">
        <f t="shared" si="0"/>
        <v>31000</v>
      </c>
      <c r="H11" s="6">
        <f t="shared" ca="1" si="1"/>
        <v>381</v>
      </c>
      <c r="I11" s="2" t="str">
        <f t="shared" ca="1" si="2"/>
        <v>90+ Days</v>
      </c>
      <c r="J11" s="2" t="str">
        <f t="shared" ca="1" si="3"/>
        <v>Overdue</v>
      </c>
      <c r="K11" s="3" t="str">
        <f t="shared" ca="1" si="4"/>
        <v>Legal action / write-off review</v>
      </c>
      <c r="L11" s="2" t="str">
        <f t="shared" ca="1" si="5"/>
        <v>Critical</v>
      </c>
    </row>
    <row r="12" spans="1:12" x14ac:dyDescent="0.35">
      <c r="A12" s="7" t="s">
        <v>31</v>
      </c>
      <c r="B12" s="8" t="s">
        <v>32</v>
      </c>
      <c r="C12" s="9">
        <v>45706</v>
      </c>
      <c r="D12" s="9">
        <v>45735</v>
      </c>
      <c r="E12" s="10">
        <v>89000</v>
      </c>
      <c r="F12" s="10">
        <v>0</v>
      </c>
      <c r="G12" s="10">
        <f t="shared" si="0"/>
        <v>89000</v>
      </c>
      <c r="H12" s="11">
        <f t="shared" ca="1" si="1"/>
        <v>378</v>
      </c>
      <c r="I12" s="7" t="str">
        <f t="shared" ca="1" si="2"/>
        <v>90+ Days</v>
      </c>
      <c r="J12" s="7" t="str">
        <f t="shared" ca="1" si="3"/>
        <v>Overdue</v>
      </c>
      <c r="K12" s="8" t="str">
        <f t="shared" ca="1" si="4"/>
        <v>Legal action / write-off review</v>
      </c>
      <c r="L12" s="7" t="str">
        <f t="shared" ca="1" si="5"/>
        <v>Critical</v>
      </c>
    </row>
    <row r="13" spans="1:12" x14ac:dyDescent="0.35">
      <c r="A13" s="2" t="s">
        <v>33</v>
      </c>
      <c r="B13" s="3" t="s">
        <v>34</v>
      </c>
      <c r="C13" s="4">
        <v>45708</v>
      </c>
      <c r="D13" s="4">
        <v>45737</v>
      </c>
      <c r="E13" s="5">
        <v>47000</v>
      </c>
      <c r="F13" s="5">
        <v>47000</v>
      </c>
      <c r="G13" s="5">
        <f t="shared" si="0"/>
        <v>0</v>
      </c>
      <c r="H13" s="6">
        <f t="shared" ca="1" si="1"/>
        <v>0</v>
      </c>
      <c r="I13" s="2" t="str">
        <f t="shared" si="2"/>
        <v>Paid</v>
      </c>
      <c r="J13" s="2" t="str">
        <f t="shared" si="3"/>
        <v>Paid</v>
      </c>
      <c r="K13" s="3" t="str">
        <f t="shared" si="4"/>
        <v>Payment received in full</v>
      </c>
      <c r="L13" s="2" t="str">
        <f t="shared" si="5"/>
        <v>-</v>
      </c>
    </row>
    <row r="14" spans="1:12" x14ac:dyDescent="0.35">
      <c r="A14" s="7" t="s">
        <v>35</v>
      </c>
      <c r="B14" s="8" t="s">
        <v>36</v>
      </c>
      <c r="C14" s="9">
        <v>45710</v>
      </c>
      <c r="D14" s="9">
        <v>45741</v>
      </c>
      <c r="E14" s="10">
        <v>112000</v>
      </c>
      <c r="F14" s="10">
        <v>0</v>
      </c>
      <c r="G14" s="10">
        <f t="shared" si="0"/>
        <v>112000</v>
      </c>
      <c r="H14" s="11">
        <f ca="1">IF(G14&gt;0, MAX(0, TODAY()-D14), 0)</f>
        <v>372</v>
      </c>
      <c r="I14" s="7" t="str">
        <f ca="1">IF(G14&lt;=0,"Paid",IF(H14&lt;=0,"Current (Not Due)",IF(H14&lt;=30,"1-30 Days",IF(H14&lt;=60,"31-60 Days",IF(H14&lt;=90,"61-90 Days","90+ Days")))))</f>
        <v>90+ Days</v>
      </c>
      <c r="J14" s="7" t="str">
        <f t="shared" ca="1" si="3"/>
        <v>Overdue</v>
      </c>
      <c r="K14" s="8" t="str">
        <f t="shared" ca="1" si="4"/>
        <v>Legal action / write-off review</v>
      </c>
      <c r="L14" s="7" t="str">
        <f t="shared" ca="1" si="5"/>
        <v>Critical</v>
      </c>
    </row>
    <row r="15" spans="1:12" x14ac:dyDescent="0.35">
      <c r="A15" s="2" t="s">
        <v>37</v>
      </c>
      <c r="B15" s="3" t="s">
        <v>38</v>
      </c>
      <c r="C15" s="4">
        <v>45627</v>
      </c>
      <c r="D15" s="4">
        <v>45657</v>
      </c>
      <c r="E15" s="5">
        <v>200000</v>
      </c>
      <c r="F15" s="5">
        <v>100000</v>
      </c>
      <c r="G15" s="5">
        <f t="shared" si="0"/>
        <v>100000</v>
      </c>
      <c r="H15" s="6">
        <f ca="1">IF(G15&gt;0, MAX(0, TODAY()-D15), 0)</f>
        <v>456</v>
      </c>
      <c r="I15" s="2" t="str">
        <f t="shared" ca="1" si="2"/>
        <v>90+ Days</v>
      </c>
      <c r="J15" s="2" t="str">
        <f t="shared" ca="1" si="3"/>
        <v>Overdue</v>
      </c>
      <c r="K15" s="3" t="str">
        <f t="shared" ca="1" si="4"/>
        <v>Legal action / write-off review</v>
      </c>
      <c r="L15" s="2" t="str">
        <f t="shared" ca="1" si="5"/>
        <v>Critical</v>
      </c>
    </row>
    <row r="16" spans="1:12" x14ac:dyDescent="0.35">
      <c r="A16" s="7" t="s">
        <v>39</v>
      </c>
      <c r="B16" s="8" t="s">
        <v>18</v>
      </c>
      <c r="C16" s="9">
        <v>45611</v>
      </c>
      <c r="D16" s="9">
        <v>45649</v>
      </c>
      <c r="E16" s="10">
        <v>58000</v>
      </c>
      <c r="F16" s="10">
        <v>0</v>
      </c>
      <c r="G16" s="10">
        <f>E16-F16</f>
        <v>58000</v>
      </c>
      <c r="H16" s="11">
        <f t="shared" ca="1" si="1"/>
        <v>464</v>
      </c>
      <c r="I16" s="7" t="str">
        <f t="shared" ca="1" si="2"/>
        <v>90+ Days</v>
      </c>
      <c r="J16" s="7" t="str">
        <f t="shared" ca="1" si="3"/>
        <v>Overdue</v>
      </c>
      <c r="K16" s="8" t="str">
        <f t="shared" ca="1" si="4"/>
        <v>Legal action / write-off review</v>
      </c>
      <c r="L16" s="7" t="str">
        <f t="shared" ca="1" si="5"/>
        <v>Critical</v>
      </c>
    </row>
    <row r="17" spans="1:12" x14ac:dyDescent="0.35">
      <c r="A17" s="2" t="s">
        <v>40</v>
      </c>
      <c r="B17" s="3" t="s">
        <v>28</v>
      </c>
      <c r="C17" s="4">
        <v>45585</v>
      </c>
      <c r="D17" s="4">
        <v>45623</v>
      </c>
      <c r="E17" s="5">
        <v>73000</v>
      </c>
      <c r="F17" s="5">
        <v>20000</v>
      </c>
      <c r="G17" s="5">
        <f t="shared" si="0"/>
        <v>53000</v>
      </c>
      <c r="H17" s="6">
        <f t="shared" ca="1" si="1"/>
        <v>490</v>
      </c>
      <c r="I17" s="2" t="str">
        <f ca="1">IF(G17&lt;=0,"Paid",IF(H17&lt;=0,"Current (Not Due)",IF(H17&lt;=30,"1-30 Days",IF(H17&lt;=60,"31-60 Days",IF(H17&lt;=90,"61-90 Days","90+ Days")))))</f>
        <v>90+ Days</v>
      </c>
      <c r="J17" s="2" t="str">
        <f ca="1">IF(G17&lt;=0,"Paid",IF(H17&lt;=0,"Current","Overdue"))</f>
        <v>Overdue</v>
      </c>
      <c r="K17" s="3" t="str">
        <f t="shared" ca="1" si="4"/>
        <v>Legal action / write-off review</v>
      </c>
      <c r="L17" s="2" t="str">
        <f t="shared" ca="1" si="5"/>
        <v>Critical</v>
      </c>
    </row>
    <row r="18" spans="1:12" x14ac:dyDescent="0.35">
      <c r="A18" s="7" t="s">
        <v>41</v>
      </c>
      <c r="B18" s="8" t="s">
        <v>20</v>
      </c>
      <c r="C18" s="9">
        <v>45566</v>
      </c>
      <c r="D18" s="9">
        <v>45596</v>
      </c>
      <c r="E18" s="10">
        <v>41000</v>
      </c>
      <c r="F18" s="10">
        <v>0</v>
      </c>
      <c r="G18" s="10">
        <f t="shared" si="0"/>
        <v>41000</v>
      </c>
      <c r="H18" s="11">
        <f ca="1">IF(G18&gt;0, MAX(0, TODAY()-D18), 0)</f>
        <v>517</v>
      </c>
      <c r="I18" s="7" t="str">
        <f t="shared" ca="1" si="2"/>
        <v>90+ Days</v>
      </c>
      <c r="J18" s="7" t="str">
        <f t="shared" ca="1" si="3"/>
        <v>Overdue</v>
      </c>
      <c r="K18" s="8" t="str">
        <f t="shared" ca="1" si="4"/>
        <v>Legal action / write-off review</v>
      </c>
      <c r="L18" s="7" t="str">
        <f t="shared" ca="1" si="5"/>
        <v>Critical</v>
      </c>
    </row>
    <row r="19" spans="1:12" x14ac:dyDescent="0.35">
      <c r="A19" s="2" t="s">
        <v>42</v>
      </c>
      <c r="B19" s="3" t="s">
        <v>24</v>
      </c>
      <c r="C19" s="4">
        <v>45545</v>
      </c>
      <c r="D19" s="4">
        <v>45574</v>
      </c>
      <c r="E19" s="5">
        <v>96000</v>
      </c>
      <c r="F19" s="5">
        <v>0</v>
      </c>
      <c r="G19" s="5">
        <f t="shared" si="0"/>
        <v>96000</v>
      </c>
      <c r="H19" s="6">
        <f t="shared" ca="1" si="1"/>
        <v>539</v>
      </c>
      <c r="I19" s="2" t="str">
        <f t="shared" ca="1" si="2"/>
        <v>90+ Days</v>
      </c>
      <c r="J19" s="2" t="str">
        <f t="shared" ca="1" si="3"/>
        <v>Overdue</v>
      </c>
      <c r="K19" s="3" t="str">
        <f t="shared" ca="1" si="4"/>
        <v>Legal action / write-off review</v>
      </c>
      <c r="L19" s="2" t="str">
        <f t="shared" ca="1" si="5"/>
        <v>Critical</v>
      </c>
    </row>
    <row r="20" spans="1:12" x14ac:dyDescent="0.35">
      <c r="A20" s="7" t="s">
        <v>43</v>
      </c>
      <c r="B20" s="8" t="s">
        <v>14</v>
      </c>
      <c r="C20" s="9">
        <v>45717</v>
      </c>
      <c r="D20" s="9">
        <v>45747</v>
      </c>
      <c r="E20" s="10">
        <v>54000</v>
      </c>
      <c r="F20" s="10">
        <v>54000</v>
      </c>
      <c r="G20" s="10">
        <f t="shared" si="0"/>
        <v>0</v>
      </c>
      <c r="H20" s="11">
        <f t="shared" ca="1" si="1"/>
        <v>0</v>
      </c>
      <c r="I20" s="7" t="str">
        <f t="shared" si="2"/>
        <v>Paid</v>
      </c>
      <c r="J20" s="7" t="str">
        <f t="shared" si="3"/>
        <v>Paid</v>
      </c>
      <c r="K20" s="8" t="str">
        <f t="shared" si="4"/>
        <v>Payment received in full</v>
      </c>
      <c r="L20" s="7" t="str">
        <f t="shared" si="5"/>
        <v>-</v>
      </c>
    </row>
    <row r="21" spans="1:12" x14ac:dyDescent="0.35">
      <c r="A21" s="2" t="s">
        <v>44</v>
      </c>
      <c r="B21" s="3" t="s">
        <v>16</v>
      </c>
      <c r="C21" s="4">
        <v>45726</v>
      </c>
      <c r="D21" s="4">
        <v>45756</v>
      </c>
      <c r="E21" s="5">
        <v>88000</v>
      </c>
      <c r="F21" s="5">
        <v>0</v>
      </c>
      <c r="G21" s="5">
        <f t="shared" si="0"/>
        <v>88000</v>
      </c>
      <c r="H21" s="6">
        <f t="shared" ca="1" si="1"/>
        <v>357</v>
      </c>
      <c r="I21" s="2" t="str">
        <f t="shared" ca="1" si="2"/>
        <v>90+ Days</v>
      </c>
      <c r="J21" s="2" t="str">
        <f t="shared" ca="1" si="3"/>
        <v>Overdue</v>
      </c>
      <c r="K21" s="3" t="str">
        <f t="shared" ca="1" si="4"/>
        <v>Legal action / write-off review</v>
      </c>
      <c r="L21" s="2" t="str">
        <f t="shared" ca="1" si="5"/>
        <v>Critical</v>
      </c>
    </row>
    <row r="22" spans="1:12" x14ac:dyDescent="0.35">
      <c r="A22" s="7" t="s">
        <v>45</v>
      </c>
      <c r="B22" s="8" t="s">
        <v>22</v>
      </c>
      <c r="C22" s="9">
        <v>45731</v>
      </c>
      <c r="D22" s="9">
        <v>45761</v>
      </c>
      <c r="E22" s="10">
        <v>37000</v>
      </c>
      <c r="F22" s="10">
        <v>0</v>
      </c>
      <c r="G22" s="10">
        <f t="shared" si="0"/>
        <v>37000</v>
      </c>
      <c r="H22" s="11">
        <f t="shared" ca="1" si="1"/>
        <v>352</v>
      </c>
      <c r="I22" s="7" t="str">
        <f t="shared" ca="1" si="2"/>
        <v>90+ Days</v>
      </c>
      <c r="J22" s="7" t="str">
        <f t="shared" ca="1" si="3"/>
        <v>Overdue</v>
      </c>
      <c r="K22" s="8" t="str">
        <f t="shared" ca="1" si="4"/>
        <v>Legal action / write-off review</v>
      </c>
      <c r="L22" s="7" t="str">
        <f t="shared" ca="1" si="5"/>
        <v>Critical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showGridLines="0" zoomScaleNormal="100" workbookViewId="0">
      <selection sqref="A1:G1"/>
    </sheetView>
  </sheetViews>
  <sheetFormatPr defaultColWidth="8.6328125" defaultRowHeight="14.5" x14ac:dyDescent="0.35"/>
  <cols>
    <col min="1" max="1" width="20" customWidth="1"/>
    <col min="2" max="2" width="16" customWidth="1"/>
    <col min="3" max="3" width="22" customWidth="1"/>
    <col min="4" max="4" width="12" customWidth="1"/>
    <col min="5" max="5" width="14" customWidth="1"/>
    <col min="6" max="6" width="12" customWidth="1"/>
    <col min="7" max="7" width="25" customWidth="1"/>
  </cols>
  <sheetData>
    <row r="1" spans="1:7" ht="30" customHeight="1" x14ac:dyDescent="0.35">
      <c r="A1" s="42" t="s">
        <v>46</v>
      </c>
      <c r="B1" s="42"/>
      <c r="C1" s="42"/>
      <c r="D1" s="42"/>
      <c r="E1" s="42"/>
      <c r="F1" s="42"/>
      <c r="G1" s="42"/>
    </row>
    <row r="2" spans="1:7" x14ac:dyDescent="0.35">
      <c r="A2" s="12" t="s">
        <v>47</v>
      </c>
      <c r="B2" s="13">
        <f ca="1">TODAY()</f>
        <v>46113</v>
      </c>
    </row>
    <row r="4" spans="1:7" ht="24" customHeight="1" x14ac:dyDescent="0.35">
      <c r="A4" s="43" t="s">
        <v>48</v>
      </c>
      <c r="B4" s="43"/>
      <c r="C4" s="43"/>
      <c r="D4" s="43"/>
      <c r="E4" s="43"/>
      <c r="F4" s="43"/>
      <c r="G4" s="43"/>
    </row>
    <row r="5" spans="1:7" ht="25.5" customHeight="1" x14ac:dyDescent="0.35">
      <c r="A5" s="14" t="s">
        <v>9</v>
      </c>
      <c r="B5" s="14" t="s">
        <v>49</v>
      </c>
      <c r="C5" s="14" t="s">
        <v>50</v>
      </c>
      <c r="D5" s="14" t="s">
        <v>51</v>
      </c>
      <c r="E5" s="14" t="s">
        <v>52</v>
      </c>
      <c r="F5" s="14" t="s">
        <v>53</v>
      </c>
      <c r="G5" s="14" t="s">
        <v>54</v>
      </c>
    </row>
    <row r="6" spans="1:7" x14ac:dyDescent="0.35">
      <c r="A6" s="15" t="s">
        <v>55</v>
      </c>
      <c r="B6" s="16">
        <f ca="1">COUNTIF('Invoice Data'!I$3:I$22,A6)</f>
        <v>0</v>
      </c>
      <c r="C6" s="17">
        <f ca="1">SUMIF('Invoice Data'!I$3:I$22,A6,'Invoice Data'!G$3:G$22)</f>
        <v>0</v>
      </c>
      <c r="D6" s="18">
        <f t="shared" ref="D6:D11" ca="1" si="0">IFERROR(C6/SUM($C$6:$C$11),0)</f>
        <v>0</v>
      </c>
      <c r="E6" s="18">
        <f ca="1">IFERROR(SUM($C$6:C6)/SUM($C$6:$C$11),0)</f>
        <v>0</v>
      </c>
      <c r="F6" s="16" t="s">
        <v>56</v>
      </c>
      <c r="G6" s="16" t="s">
        <v>57</v>
      </c>
    </row>
    <row r="7" spans="1:7" x14ac:dyDescent="0.35">
      <c r="A7" s="19" t="s">
        <v>58</v>
      </c>
      <c r="B7" s="20">
        <f ca="1">COUNTIF('Invoice Data'!I$3:I$22,A7)</f>
        <v>0</v>
      </c>
      <c r="C7" s="21">
        <f ca="1">SUMIF('Invoice Data'!I$3:I$22,A7,'Invoice Data'!G$3:G$22)</f>
        <v>0</v>
      </c>
      <c r="D7" s="22">
        <f t="shared" ca="1" si="0"/>
        <v>0</v>
      </c>
      <c r="E7" s="22">
        <f ca="1">IFERROR(SUM($C$6:C7)/SUM($C$6:$C$11),0)</f>
        <v>0</v>
      </c>
      <c r="F7" s="20" t="s">
        <v>56</v>
      </c>
      <c r="G7" s="20" t="s">
        <v>59</v>
      </c>
    </row>
    <row r="8" spans="1:7" x14ac:dyDescent="0.35">
      <c r="A8" s="23" t="s">
        <v>60</v>
      </c>
      <c r="B8" s="16">
        <f ca="1">COUNTIF('Invoice Data'!I$3:I$22,A8)</f>
        <v>0</v>
      </c>
      <c r="C8" s="17">
        <f ca="1">SUMIF('Invoice Data'!I$3:I$22,A8,'Invoice Data'!G$3:G$22)</f>
        <v>0</v>
      </c>
      <c r="D8" s="18">
        <f t="shared" ca="1" si="0"/>
        <v>0</v>
      </c>
      <c r="E8" s="18">
        <f ca="1">IFERROR(SUM($C$6:C8)/SUM($C$6:$C$11),0)</f>
        <v>0</v>
      </c>
      <c r="F8" s="16" t="s">
        <v>61</v>
      </c>
      <c r="G8" s="16" t="s">
        <v>62</v>
      </c>
    </row>
    <row r="9" spans="1:7" x14ac:dyDescent="0.35">
      <c r="A9" s="24" t="s">
        <v>63</v>
      </c>
      <c r="B9" s="20">
        <f ca="1">COUNTIF('Invoice Data'!I$3:I$22,A9)</f>
        <v>0</v>
      </c>
      <c r="C9" s="21">
        <f ca="1">SUMIF('Invoice Data'!I$3:I$22,A9,'Invoice Data'!G$3:G$22)</f>
        <v>0</v>
      </c>
      <c r="D9" s="22">
        <f t="shared" ca="1" si="0"/>
        <v>0</v>
      </c>
      <c r="E9" s="22">
        <f ca="1">IFERROR(SUM($C$6:C9)/SUM($C$6:$C$11),0)</f>
        <v>0</v>
      </c>
      <c r="F9" s="20" t="s">
        <v>64</v>
      </c>
      <c r="G9" s="20" t="s">
        <v>65</v>
      </c>
    </row>
    <row r="10" spans="1:7" x14ac:dyDescent="0.35">
      <c r="A10" s="25" t="s">
        <v>66</v>
      </c>
      <c r="B10" s="16">
        <f ca="1">COUNTIF('Invoice Data'!I$3:I$22,A10)</f>
        <v>14</v>
      </c>
      <c r="C10" s="17">
        <f ca="1">SUMIF('Invoice Data'!I$3:I$22,A10,'Invoice Data'!G$3:G$22)</f>
        <v>927500</v>
      </c>
      <c r="D10" s="18">
        <f t="shared" ca="1" si="0"/>
        <v>1</v>
      </c>
      <c r="E10" s="18">
        <f ca="1">IFERROR(SUM($C$6:C10)/SUM($C$6:$C$11),0)</f>
        <v>1</v>
      </c>
      <c r="F10" s="16" t="s">
        <v>67</v>
      </c>
      <c r="G10" s="16" t="s">
        <v>68</v>
      </c>
    </row>
    <row r="11" spans="1:7" x14ac:dyDescent="0.35">
      <c r="A11" s="26" t="s">
        <v>69</v>
      </c>
      <c r="B11" s="20">
        <f ca="1">COUNTIF('Invoice Data'!I$3:I$22,A11)</f>
        <v>6</v>
      </c>
      <c r="C11" s="21">
        <f ca="1">SUMIF('Invoice Data'!I$3:I$22,A11,'Invoice Data'!G$3:G$22)</f>
        <v>0</v>
      </c>
      <c r="D11" s="22">
        <f t="shared" ca="1" si="0"/>
        <v>0</v>
      </c>
      <c r="E11" s="22">
        <f ca="1">IFERROR(SUM($C$6:C11)/SUM($C$6:$C$11),0)</f>
        <v>1</v>
      </c>
      <c r="F11" s="20" t="s">
        <v>70</v>
      </c>
      <c r="G11" s="20" t="s">
        <v>71</v>
      </c>
    </row>
    <row r="12" spans="1:7" ht="3.75" customHeight="1" x14ac:dyDescent="0.35"/>
    <row r="13" spans="1:7" x14ac:dyDescent="0.35">
      <c r="A13" s="27" t="s">
        <v>72</v>
      </c>
      <c r="B13" s="27">
        <f ca="1">SUM(B6:B11)</f>
        <v>20</v>
      </c>
      <c r="C13" s="28">
        <f ca="1">SUM(C6:C11)</f>
        <v>927500</v>
      </c>
      <c r="D13" s="29"/>
      <c r="E13" s="29"/>
      <c r="F13" s="29"/>
      <c r="G13" s="29"/>
    </row>
    <row r="15" spans="1:7" ht="15" customHeight="1" x14ac:dyDescent="0.35">
      <c r="A15" s="43" t="s">
        <v>73</v>
      </c>
      <c r="B15" s="43"/>
      <c r="C15" s="43"/>
    </row>
    <row r="16" spans="1:7" x14ac:dyDescent="0.35">
      <c r="A16" s="30" t="s">
        <v>74</v>
      </c>
      <c r="B16" s="47">
        <f ca="1">SUMIF('Invoice Data'!J$3:J$22,"Overdue",'Invoice Data'!G$3:G$22)+SUMIF('Invoice Data'!J$3:J$22,"Current",'Invoice Data'!G$3:G$22)</f>
        <v>927500</v>
      </c>
      <c r="C16" s="47"/>
    </row>
    <row r="17" spans="1:3" x14ac:dyDescent="0.35">
      <c r="A17" s="30" t="s">
        <v>75</v>
      </c>
      <c r="B17" s="47">
        <f ca="1">SUMIF('Invoice Data'!J$3:J$22,"Overdue",'Invoice Data'!G$3:G$22)</f>
        <v>927500</v>
      </c>
      <c r="C17" s="47"/>
    </row>
    <row r="18" spans="1:3" x14ac:dyDescent="0.35">
      <c r="A18" s="30" t="s">
        <v>76</v>
      </c>
      <c r="B18" s="44">
        <f ca="1">COUNTIF('Invoice Data'!J$3:J$22,"Overdue")</f>
        <v>14</v>
      </c>
      <c r="C18" s="44"/>
    </row>
    <row r="19" spans="1:3" x14ac:dyDescent="0.35">
      <c r="A19" s="30" t="s">
        <v>77</v>
      </c>
      <c r="B19" s="45">
        <f ca="1">IFERROR(SUMIF('Invoice Data'!J$3:J$22,"Paid",'Invoice Data'!E$3:E$22)/SUM('Invoice Data'!E$3:E$22),0)</f>
        <v>0.30891817346000611</v>
      </c>
      <c r="C19" s="45"/>
    </row>
    <row r="20" spans="1:3" x14ac:dyDescent="0.35">
      <c r="A20" s="30" t="s">
        <v>78</v>
      </c>
      <c r="B20" s="46">
        <f ca="1">IFERROR(AVERAGEIF('Invoice Data'!H$3:H$22,"&gt;0",'Invoice Data'!H$3:H$22),0)</f>
        <v>420.42857142857144</v>
      </c>
      <c r="C20" s="46"/>
    </row>
    <row r="21" spans="1:3" x14ac:dyDescent="0.35">
      <c r="A21" s="30" t="s">
        <v>79</v>
      </c>
      <c r="B21" s="44">
        <f ca="1">COUNTIF('Invoice Data'!I$3:I$22,"90+ Days")</f>
        <v>14</v>
      </c>
      <c r="C21" s="44"/>
    </row>
  </sheetData>
  <mergeCells count="9">
    <mergeCell ref="B18:C18"/>
    <mergeCell ref="B19:C19"/>
    <mergeCell ref="B20:C20"/>
    <mergeCell ref="B21:C21"/>
    <mergeCell ref="A1:G1"/>
    <mergeCell ref="A4:G4"/>
    <mergeCell ref="A15:C15"/>
    <mergeCell ref="B16:C16"/>
    <mergeCell ref="B17:C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zoomScaleNormal="100" workbookViewId="0">
      <selection sqref="A1:H1"/>
    </sheetView>
  </sheetViews>
  <sheetFormatPr defaultColWidth="8.6328125" defaultRowHeight="14.5" x14ac:dyDescent="0.35"/>
  <cols>
    <col min="1" max="1" width="22" customWidth="1"/>
    <col min="2" max="2" width="14" customWidth="1"/>
    <col min="3" max="3" width="18" customWidth="1"/>
    <col min="4" max="5" width="16" customWidth="1"/>
    <col min="6" max="6" width="18" customWidth="1"/>
    <col min="7" max="7" width="16" customWidth="1"/>
    <col min="8" max="8" width="14" customWidth="1"/>
  </cols>
  <sheetData>
    <row r="1" spans="1:8" ht="30" customHeight="1" x14ac:dyDescent="0.35">
      <c r="A1" s="42" t="s">
        <v>80</v>
      </c>
      <c r="B1" s="42"/>
      <c r="C1" s="42"/>
      <c r="D1" s="42"/>
      <c r="E1" s="42"/>
      <c r="F1" s="42"/>
      <c r="G1" s="42"/>
      <c r="H1" s="42"/>
    </row>
    <row r="2" spans="1:8" ht="27.75" customHeight="1" x14ac:dyDescent="0.35">
      <c r="A2" s="1" t="s">
        <v>2</v>
      </c>
      <c r="B2" s="1" t="s">
        <v>81</v>
      </c>
      <c r="C2" s="1" t="s">
        <v>82</v>
      </c>
      <c r="D2" s="1" t="s">
        <v>83</v>
      </c>
      <c r="E2" s="1" t="s">
        <v>7</v>
      </c>
      <c r="F2" s="1" t="s">
        <v>84</v>
      </c>
      <c r="G2" s="1" t="s">
        <v>85</v>
      </c>
      <c r="H2" s="1" t="s">
        <v>86</v>
      </c>
    </row>
    <row r="3" spans="1:8" x14ac:dyDescent="0.35">
      <c r="A3" s="3" t="s">
        <v>32</v>
      </c>
      <c r="B3" s="6">
        <f>COUNTIF('Invoice Data'!B$3:B$22,A3)</f>
        <v>1</v>
      </c>
      <c r="C3" s="5">
        <f>SUMIF('Invoice Data'!B$3:B$22,A3,'Invoice Data'!E$3:E$22)</f>
        <v>89000</v>
      </c>
      <c r="D3" s="5">
        <f>SUMIF('Invoice Data'!B$3:B$22,A3,'Invoice Data'!F$3:F$22)</f>
        <v>0</v>
      </c>
      <c r="E3" s="5">
        <f t="shared" ref="E3:E15" si="0">C3-D3</f>
        <v>89000</v>
      </c>
      <c r="F3" s="5">
        <f ca="1">SUMIFS('Invoice Data'!G$3:G$22,'Invoice Data'!B$3:B$22,A3,'Invoice Data'!J$3:J$22,"Overdue")</f>
        <v>89000</v>
      </c>
      <c r="G3" s="4" t="str">
        <f ca="1">IFERROR(_xludf.minifs('Invoice Data'!D$3:D$22,'Invoice Data'!B$3:B$22,A3,'Invoice Data'!G$3:G$22,"&gt;0"),"")</f>
        <v/>
      </c>
      <c r="H3" s="2" t="str">
        <f t="shared" ref="H3:H15" ca="1" si="1">IF(F3=0,"Low",IF(F3&lt;50000,"Medium",IF(F3&lt;100000,"High","Critical")))</f>
        <v>High</v>
      </c>
    </row>
    <row r="4" spans="1:8" x14ac:dyDescent="0.35">
      <c r="A4" s="8" t="s">
        <v>34</v>
      </c>
      <c r="B4" s="11">
        <f>COUNTIF('Invoice Data'!B$3:B$22,A4)</f>
        <v>1</v>
      </c>
      <c r="C4" s="10">
        <f>SUMIF('Invoice Data'!B$3:B$22,A4,'Invoice Data'!E$3:E$22)</f>
        <v>47000</v>
      </c>
      <c r="D4" s="10">
        <f>SUMIF('Invoice Data'!B$3:B$22,A4,'Invoice Data'!F$3:F$22)</f>
        <v>47000</v>
      </c>
      <c r="E4" s="10">
        <f t="shared" si="0"/>
        <v>0</v>
      </c>
      <c r="F4" s="10">
        <f>SUMIFS('Invoice Data'!G$3:G$22,'Invoice Data'!B$3:B$22,A4,'Invoice Data'!J$3:J$22,"Overdue")</f>
        <v>0</v>
      </c>
      <c r="G4" s="9" t="str">
        <f ca="1">IFERROR(_xludf.minifs('Invoice Data'!D$3:D$22,'Invoice Data'!B$3:B$22,A4,'Invoice Data'!G$3:G$22,"&gt;0"),"")</f>
        <v/>
      </c>
      <c r="H4" s="7" t="str">
        <f t="shared" si="1"/>
        <v>Low</v>
      </c>
    </row>
    <row r="5" spans="1:8" x14ac:dyDescent="0.35">
      <c r="A5" s="3" t="s">
        <v>22</v>
      </c>
      <c r="B5" s="6">
        <f>COUNTIF('Invoice Data'!B$3:B$22,A5)</f>
        <v>2</v>
      </c>
      <c r="C5" s="5">
        <f>SUMIF('Invoice Data'!B$3:B$22,A5,'Invoice Data'!E$3:E$22)</f>
        <v>80000</v>
      </c>
      <c r="D5" s="5">
        <f>SUMIF('Invoice Data'!B$3:B$22,A5,'Invoice Data'!F$3:F$22)</f>
        <v>43000</v>
      </c>
      <c r="E5" s="5">
        <f t="shared" si="0"/>
        <v>37000</v>
      </c>
      <c r="F5" s="5">
        <f ca="1">SUMIFS('Invoice Data'!G$3:G$22,'Invoice Data'!B$3:B$22,A5,'Invoice Data'!J$3:J$22,"Overdue")</f>
        <v>37000</v>
      </c>
      <c r="G5" s="4" t="str">
        <f ca="1">IFERROR(_xludf.minifs('Invoice Data'!D$3:D$22,'Invoice Data'!B$3:B$22,A5,'Invoice Data'!G$3:G$22,"&gt;0"),"")</f>
        <v/>
      </c>
      <c r="H5" s="2" t="str">
        <f t="shared" ca="1" si="1"/>
        <v>Medium</v>
      </c>
    </row>
    <row r="6" spans="1:8" x14ac:dyDescent="0.35">
      <c r="A6" s="8" t="s">
        <v>28</v>
      </c>
      <c r="B6" s="11">
        <f>COUNTIF('Invoice Data'!B$3:B$22,A6)</f>
        <v>2</v>
      </c>
      <c r="C6" s="10">
        <f>SUMIF('Invoice Data'!B$3:B$22,A6,'Invoice Data'!E$3:E$22)</f>
        <v>105000</v>
      </c>
      <c r="D6" s="10">
        <f>SUMIF('Invoice Data'!B$3:B$22,A6,'Invoice Data'!F$3:F$22)</f>
        <v>20000</v>
      </c>
      <c r="E6" s="10">
        <f t="shared" si="0"/>
        <v>85000</v>
      </c>
      <c r="F6" s="10">
        <f ca="1">SUMIFS('Invoice Data'!G$3:G$22,'Invoice Data'!B$3:B$22,A6,'Invoice Data'!J$3:J$22,"Overdue")</f>
        <v>85000</v>
      </c>
      <c r="G6" s="9" t="str">
        <f ca="1">IFERROR(_xludf.minifs('Invoice Data'!D$3:D$22,'Invoice Data'!B$3:B$22,A6,'Invoice Data'!G$3:G$22,"&gt;0"),"")</f>
        <v/>
      </c>
      <c r="H6" s="7" t="str">
        <f t="shared" ca="1" si="1"/>
        <v>High</v>
      </c>
    </row>
    <row r="7" spans="1:8" x14ac:dyDescent="0.35">
      <c r="A7" s="3" t="s">
        <v>30</v>
      </c>
      <c r="B7" s="6">
        <f>COUNTIF('Invoice Data'!B$3:B$22,A7)</f>
        <v>1</v>
      </c>
      <c r="C7" s="5">
        <f>SUMIF('Invoice Data'!B$3:B$22,A7,'Invoice Data'!E$3:E$22)</f>
        <v>61000</v>
      </c>
      <c r="D7" s="5">
        <f>SUMIF('Invoice Data'!B$3:B$22,A7,'Invoice Data'!F$3:F$22)</f>
        <v>30000</v>
      </c>
      <c r="E7" s="5">
        <f t="shared" si="0"/>
        <v>31000</v>
      </c>
      <c r="F7" s="5">
        <f ca="1">SUMIFS('Invoice Data'!G$3:G$22,'Invoice Data'!B$3:B$22,A7,'Invoice Data'!J$3:J$22,"Overdue")</f>
        <v>31000</v>
      </c>
      <c r="G7" s="4" t="str">
        <f ca="1">IFERROR(_xludf.minifs('Invoice Data'!D$3:D$22,'Invoice Data'!B$3:B$22,A7,'Invoice Data'!G$3:G$22,"&gt;0"),"")</f>
        <v/>
      </c>
      <c r="H7" s="2" t="str">
        <f t="shared" ca="1" si="1"/>
        <v>Medium</v>
      </c>
    </row>
    <row r="8" spans="1:8" x14ac:dyDescent="0.35">
      <c r="A8" s="8" t="s">
        <v>18</v>
      </c>
      <c r="B8" s="11">
        <f>COUNTIF('Invoice Data'!B$3:B$22,A8)</f>
        <v>2</v>
      </c>
      <c r="C8" s="10">
        <f>SUMIF('Invoice Data'!B$3:B$22,A8,'Invoice Data'!E$3:E$22)</f>
        <v>125500</v>
      </c>
      <c r="D8" s="10">
        <f>SUMIF('Invoice Data'!B$3:B$22,A8,'Invoice Data'!F$3:F$22)</f>
        <v>0</v>
      </c>
      <c r="E8" s="10">
        <f t="shared" si="0"/>
        <v>125500</v>
      </c>
      <c r="F8" s="10">
        <f ca="1">SUMIFS('Invoice Data'!G$3:G$22,'Invoice Data'!B$3:B$22,A8,'Invoice Data'!J$3:J$22,"Overdue")</f>
        <v>125500</v>
      </c>
      <c r="G8" s="9" t="str">
        <f ca="1">IFERROR(_xludf.minifs('Invoice Data'!D$3:D$22,'Invoice Data'!B$3:B$22,A8,'Invoice Data'!G$3:G$22,"&gt;0"),"")</f>
        <v/>
      </c>
      <c r="H8" s="7" t="str">
        <f t="shared" ca="1" si="1"/>
        <v>Critical</v>
      </c>
    </row>
    <row r="9" spans="1:8" x14ac:dyDescent="0.35">
      <c r="A9" s="3" t="s">
        <v>24</v>
      </c>
      <c r="B9" s="6">
        <f>COUNTIF('Invoice Data'!B$3:B$22,A9)</f>
        <v>2</v>
      </c>
      <c r="C9" s="5">
        <f>SUMIF('Invoice Data'!B$3:B$22,A9,'Invoice Data'!E$3:E$22)</f>
        <v>174000</v>
      </c>
      <c r="D9" s="5">
        <f>SUMIF('Invoice Data'!B$3:B$22,A9,'Invoice Data'!F$3:F$22)</f>
        <v>0</v>
      </c>
      <c r="E9" s="5">
        <f t="shared" si="0"/>
        <v>174000</v>
      </c>
      <c r="F9" s="5">
        <f ca="1">SUMIFS('Invoice Data'!G$3:G$22,'Invoice Data'!B$3:B$22,A9,'Invoice Data'!J$3:J$22,"Overdue")</f>
        <v>174000</v>
      </c>
      <c r="G9" s="4" t="str">
        <f ca="1">IFERROR(_xludf.minifs('Invoice Data'!D$3:D$22,'Invoice Data'!B$3:B$22,A9,'Invoice Data'!G$3:G$22,"&gt;0"),"")</f>
        <v/>
      </c>
      <c r="H9" s="2" t="str">
        <f t="shared" ca="1" si="1"/>
        <v>Critical</v>
      </c>
    </row>
    <row r="10" spans="1:8" x14ac:dyDescent="0.35">
      <c r="A10" s="8" t="s">
        <v>20</v>
      </c>
      <c r="B10" s="11">
        <f>COUNTIF('Invoice Data'!B$3:B$22,A10)</f>
        <v>2</v>
      </c>
      <c r="C10" s="10">
        <f>SUMIF('Invoice Data'!B$3:B$22,A10,'Invoice Data'!E$3:E$22)</f>
        <v>136000</v>
      </c>
      <c r="D10" s="10">
        <f>SUMIF('Invoice Data'!B$3:B$22,A10,'Invoice Data'!F$3:F$22)</f>
        <v>50000</v>
      </c>
      <c r="E10" s="10">
        <f t="shared" si="0"/>
        <v>86000</v>
      </c>
      <c r="F10" s="10">
        <f ca="1">SUMIFS('Invoice Data'!G$3:G$22,'Invoice Data'!B$3:B$22,A10,'Invoice Data'!J$3:J$22,"Overdue")</f>
        <v>86000</v>
      </c>
      <c r="G10" s="9" t="str">
        <f ca="1">IFERROR(_xludf.minifs('Invoice Data'!D$3:D$22,'Invoice Data'!B$3:B$22,A10,'Invoice Data'!G$3:G$22,"&gt;0"),"")</f>
        <v/>
      </c>
      <c r="H10" s="7" t="str">
        <f t="shared" ca="1" si="1"/>
        <v>High</v>
      </c>
    </row>
    <row r="11" spans="1:8" x14ac:dyDescent="0.35">
      <c r="A11" s="3" t="s">
        <v>26</v>
      </c>
      <c r="B11" s="6">
        <f>COUNTIF('Invoice Data'!B$3:B$22,A11)</f>
        <v>1</v>
      </c>
      <c r="C11" s="5">
        <f>SUMIF('Invoice Data'!B$3:B$22,A11,'Invoice Data'!E$3:E$22)</f>
        <v>155000</v>
      </c>
      <c r="D11" s="5">
        <f>SUMIF('Invoice Data'!B$3:B$22,A11,'Invoice Data'!F$3:F$22)</f>
        <v>155000</v>
      </c>
      <c r="E11" s="5">
        <f t="shared" si="0"/>
        <v>0</v>
      </c>
      <c r="F11" s="5">
        <f>SUMIFS('Invoice Data'!G$3:G$22,'Invoice Data'!B$3:B$22,A11,'Invoice Data'!J$3:J$22,"Overdue")</f>
        <v>0</v>
      </c>
      <c r="G11" s="4" t="str">
        <f ca="1">IFERROR(_xludf.minifs('Invoice Data'!D$3:D$22,'Invoice Data'!B$3:B$22,A11,'Invoice Data'!G$3:G$22,"&gt;0"),"")</f>
        <v/>
      </c>
      <c r="H11" s="2" t="str">
        <f t="shared" si="1"/>
        <v>Low</v>
      </c>
    </row>
    <row r="12" spans="1:8" x14ac:dyDescent="0.35">
      <c r="A12" s="8" t="s">
        <v>36</v>
      </c>
      <c r="B12" s="11">
        <f>COUNTIF('Invoice Data'!B$3:B$22,A12)</f>
        <v>1</v>
      </c>
      <c r="C12" s="10">
        <f>SUMIF('Invoice Data'!B$3:B$22,A12,'Invoice Data'!E$3:E$22)</f>
        <v>112000</v>
      </c>
      <c r="D12" s="10">
        <f>SUMIF('Invoice Data'!B$3:B$22,A12,'Invoice Data'!F$3:F$22)</f>
        <v>0</v>
      </c>
      <c r="E12" s="10">
        <f t="shared" si="0"/>
        <v>112000</v>
      </c>
      <c r="F12" s="10">
        <f ca="1">SUMIFS('Invoice Data'!G$3:G$22,'Invoice Data'!B$3:B$22,A12,'Invoice Data'!J$3:J$22,"Overdue")</f>
        <v>112000</v>
      </c>
      <c r="G12" s="9" t="str">
        <f ca="1">IFERROR(_xludf.minifs('Invoice Data'!D$3:D$22,'Invoice Data'!B$3:B$22,A12,'Invoice Data'!G$3:G$22,"&gt;0"),"")</f>
        <v/>
      </c>
      <c r="H12" s="7" t="str">
        <f t="shared" ca="1" si="1"/>
        <v>Critical</v>
      </c>
    </row>
    <row r="13" spans="1:8" x14ac:dyDescent="0.35">
      <c r="A13" s="3" t="s">
        <v>14</v>
      </c>
      <c r="B13" s="6">
        <f>COUNTIF('Invoice Data'!B$3:B$22,A13)</f>
        <v>2</v>
      </c>
      <c r="C13" s="5">
        <f>SUMIF('Invoice Data'!B$3:B$22,A13,'Invoice Data'!E$3:E$22)</f>
        <v>139000</v>
      </c>
      <c r="D13" s="5">
        <f>SUMIF('Invoice Data'!B$3:B$22,A13,'Invoice Data'!F$3:F$22)</f>
        <v>139000</v>
      </c>
      <c r="E13" s="5">
        <f t="shared" si="0"/>
        <v>0</v>
      </c>
      <c r="F13" s="5">
        <f>SUMIFS('Invoice Data'!G$3:G$22,'Invoice Data'!B$3:B$22,A13,'Invoice Data'!J$3:J$22,"Overdue")</f>
        <v>0</v>
      </c>
      <c r="G13" s="4" t="str">
        <f ca="1">IFERROR(_xludf.minifs('Invoice Data'!D$3:D$22,'Invoice Data'!B$3:B$22,A13,'Invoice Data'!G$3:G$22,"&gt;0"),"")</f>
        <v/>
      </c>
      <c r="H13" s="2" t="str">
        <f t="shared" si="1"/>
        <v>Low</v>
      </c>
    </row>
    <row r="14" spans="1:8" x14ac:dyDescent="0.35">
      <c r="A14" s="8" t="s">
        <v>16</v>
      </c>
      <c r="B14" s="11">
        <f>COUNTIF('Invoice Data'!B$3:B$22,A14)</f>
        <v>2</v>
      </c>
      <c r="C14" s="10">
        <f>SUMIF('Invoice Data'!B$3:B$22,A14,'Invoice Data'!E$3:E$22)</f>
        <v>208000</v>
      </c>
      <c r="D14" s="10">
        <f>SUMIF('Invoice Data'!B$3:B$22,A14,'Invoice Data'!F$3:F$22)</f>
        <v>120000</v>
      </c>
      <c r="E14" s="10">
        <f t="shared" si="0"/>
        <v>88000</v>
      </c>
      <c r="F14" s="10">
        <f ca="1">SUMIFS('Invoice Data'!G$3:G$22,'Invoice Data'!B$3:B$22,A14,'Invoice Data'!J$3:J$22,"Overdue")</f>
        <v>88000</v>
      </c>
      <c r="G14" s="9" t="str">
        <f ca="1">IFERROR(_xludf.minifs('Invoice Data'!D$3:D$22,'Invoice Data'!B$3:B$22,A14,'Invoice Data'!G$3:G$22,"&gt;0"),"")</f>
        <v/>
      </c>
      <c r="H14" s="7" t="str">
        <f t="shared" ca="1" si="1"/>
        <v>High</v>
      </c>
    </row>
    <row r="15" spans="1:8" x14ac:dyDescent="0.35">
      <c r="A15" s="3" t="s">
        <v>38</v>
      </c>
      <c r="B15" s="6">
        <f>COUNTIF('Invoice Data'!B$3:B$22,A15)</f>
        <v>1</v>
      </c>
      <c r="C15" s="5">
        <f>SUMIF('Invoice Data'!B$3:B$22,A15,'Invoice Data'!E$3:E$22)</f>
        <v>200000</v>
      </c>
      <c r="D15" s="5">
        <f>SUMIF('Invoice Data'!B$3:B$22,A15,'Invoice Data'!F$3:F$22)</f>
        <v>100000</v>
      </c>
      <c r="E15" s="5">
        <f t="shared" si="0"/>
        <v>100000</v>
      </c>
      <c r="F15" s="5">
        <f ca="1">SUMIFS('Invoice Data'!G$3:G$22,'Invoice Data'!B$3:B$22,A15,'Invoice Data'!J$3:J$22,"Overdue")</f>
        <v>100000</v>
      </c>
      <c r="G15" s="4" t="str">
        <f ca="1">IFERROR(_xludf.minifs('Invoice Data'!D$3:D$22,'Invoice Data'!B$3:B$22,A15,'Invoice Data'!G$3:G$22,"&gt;0"),"")</f>
        <v/>
      </c>
      <c r="H15" s="2" t="str">
        <f t="shared" ca="1" si="1"/>
        <v>Critical</v>
      </c>
    </row>
    <row r="16" spans="1:8" x14ac:dyDescent="0.35">
      <c r="A16" s="27" t="s">
        <v>72</v>
      </c>
      <c r="B16" s="31"/>
      <c r="C16" s="28">
        <f>SUM(C3:C15)</f>
        <v>1631500</v>
      </c>
      <c r="D16" s="28">
        <f>SUM(D3:D15)</f>
        <v>704000</v>
      </c>
      <c r="E16" s="28">
        <f>SUM(E3:E15)</f>
        <v>927500</v>
      </c>
      <c r="F16" s="28">
        <f ca="1">SUM(F3:F15)</f>
        <v>927500</v>
      </c>
      <c r="G16" s="31"/>
      <c r="H16" s="31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showGridLines="0" tabSelected="1" topLeftCell="A11" zoomScaleNormal="100" workbookViewId="0">
      <selection activeCell="D19" sqref="D19"/>
    </sheetView>
  </sheetViews>
  <sheetFormatPr defaultColWidth="8.6328125" defaultRowHeight="14.5" x14ac:dyDescent="0.35"/>
  <cols>
    <col min="1" max="1" width="30" customWidth="1"/>
    <col min="2" max="2" width="18" customWidth="1"/>
    <col min="3" max="4" width="16" customWidth="1"/>
  </cols>
  <sheetData>
    <row r="1" spans="1:6" ht="30" customHeight="1" x14ac:dyDescent="0.35">
      <c r="A1" s="42" t="s">
        <v>87</v>
      </c>
      <c r="B1" s="42"/>
      <c r="C1" s="42"/>
      <c r="D1" s="42"/>
      <c r="E1" s="42"/>
      <c r="F1" s="42"/>
    </row>
    <row r="2" spans="1:6" x14ac:dyDescent="0.35">
      <c r="A2" s="12" t="s">
        <v>88</v>
      </c>
      <c r="B2" s="32" t="s">
        <v>89</v>
      </c>
    </row>
    <row r="4" spans="1:6" ht="24" customHeight="1" x14ac:dyDescent="0.35">
      <c r="A4" s="43" t="s">
        <v>90</v>
      </c>
      <c r="B4" s="43"/>
      <c r="C4" s="43"/>
      <c r="D4" s="43"/>
      <c r="E4" s="43"/>
      <c r="F4" s="43"/>
    </row>
    <row r="5" spans="1:6" x14ac:dyDescent="0.35">
      <c r="A5" s="14" t="s">
        <v>91</v>
      </c>
      <c r="B5" s="14" t="s">
        <v>92</v>
      </c>
      <c r="C5" s="14" t="s">
        <v>93</v>
      </c>
      <c r="D5" s="14" t="s">
        <v>94</v>
      </c>
    </row>
    <row r="6" spans="1:6" x14ac:dyDescent="0.35">
      <c r="A6" s="33" t="s">
        <v>95</v>
      </c>
      <c r="B6" s="34">
        <v>20</v>
      </c>
      <c r="C6" s="7" t="s">
        <v>96</v>
      </c>
      <c r="D6" s="7" t="s">
        <v>97</v>
      </c>
    </row>
    <row r="7" spans="1:6" x14ac:dyDescent="0.35">
      <c r="A7" s="35" t="s">
        <v>98</v>
      </c>
      <c r="B7" s="36">
        <f>SUM('Invoice Data'!E3:E22)</f>
        <v>1631500</v>
      </c>
      <c r="C7" s="2" t="s">
        <v>99</v>
      </c>
      <c r="D7" s="2" t="s">
        <v>100</v>
      </c>
    </row>
    <row r="8" spans="1:6" x14ac:dyDescent="0.35">
      <c r="A8" s="33" t="s">
        <v>101</v>
      </c>
      <c r="B8" s="37">
        <f>SUM('Invoice Data'!F3:F22)</f>
        <v>704000</v>
      </c>
      <c r="C8" s="7" t="s">
        <v>102</v>
      </c>
      <c r="D8" s="7" t="s">
        <v>97</v>
      </c>
    </row>
    <row r="9" spans="1:6" x14ac:dyDescent="0.35">
      <c r="A9" s="35" t="s">
        <v>103</v>
      </c>
      <c r="B9" s="36">
        <f>SUM('Invoice Data'!G3:G22)</f>
        <v>927500</v>
      </c>
      <c r="C9" s="2" t="s">
        <v>104</v>
      </c>
      <c r="D9" s="2" t="s">
        <v>100</v>
      </c>
    </row>
    <row r="10" spans="1:6" x14ac:dyDescent="0.35">
      <c r="A10" s="33" t="s">
        <v>105</v>
      </c>
      <c r="B10" s="37">
        <f ca="1">SUMIF('Invoice Data'!J3:J22,"Overdue",'Invoice Data'!G3:G22)</f>
        <v>927500</v>
      </c>
      <c r="C10" s="7" t="s">
        <v>106</v>
      </c>
      <c r="D10" s="7" t="s">
        <v>97</v>
      </c>
    </row>
    <row r="11" spans="1:6" x14ac:dyDescent="0.35">
      <c r="A11" s="35" t="s">
        <v>107</v>
      </c>
      <c r="B11" s="38">
        <f>IFERROR(SUM('Invoice Data'!F3:F22)/SUM('Invoice Data'!E3:E22),0)</f>
        <v>0.43150475022984985</v>
      </c>
      <c r="C11" s="2" t="s">
        <v>108</v>
      </c>
      <c r="D11" s="2" t="s">
        <v>100</v>
      </c>
    </row>
    <row r="12" spans="1:6" x14ac:dyDescent="0.35">
      <c r="A12" s="33" t="s">
        <v>109</v>
      </c>
      <c r="B12" s="39">
        <f ca="1">COUNTIF('Invoice Data'!J3:J22,"Overdue")</f>
        <v>14</v>
      </c>
      <c r="C12" s="7" t="s">
        <v>110</v>
      </c>
      <c r="D12" s="7" t="s">
        <v>97</v>
      </c>
    </row>
    <row r="13" spans="1:6" x14ac:dyDescent="0.35">
      <c r="A13" s="35" t="s">
        <v>111</v>
      </c>
      <c r="B13" s="40">
        <f ca="1">COUNTIF('Invoice Data'!I3:I22,"90+ Days")</f>
        <v>14</v>
      </c>
      <c r="C13" s="2" t="s">
        <v>112</v>
      </c>
      <c r="D13" s="2" t="s">
        <v>100</v>
      </c>
    </row>
    <row r="16" spans="1:6" ht="24" customHeight="1" x14ac:dyDescent="0.35">
      <c r="A16" s="43" t="s">
        <v>113</v>
      </c>
      <c r="B16" s="43"/>
      <c r="C16" s="43"/>
      <c r="D16" s="43"/>
      <c r="E16" s="43"/>
      <c r="F16" s="43"/>
    </row>
    <row r="17" spans="1:6" ht="26" x14ac:dyDescent="0.35">
      <c r="A17" s="14" t="s">
        <v>114</v>
      </c>
      <c r="B17" s="14" t="s">
        <v>115</v>
      </c>
      <c r="C17" s="14" t="s">
        <v>8</v>
      </c>
      <c r="D17" s="14" t="s">
        <v>9</v>
      </c>
      <c r="E17" s="14" t="s">
        <v>116</v>
      </c>
      <c r="F17" s="14" t="s">
        <v>117</v>
      </c>
    </row>
    <row r="18" spans="1:6" ht="37.5" x14ac:dyDescent="0.35">
      <c r="A18" s="8" t="s">
        <v>24</v>
      </c>
      <c r="B18" s="10">
        <v>96000</v>
      </c>
      <c r="C18" s="11">
        <v>173</v>
      </c>
      <c r="D18" s="41" t="s">
        <v>66</v>
      </c>
      <c r="E18" s="7" t="s">
        <v>118</v>
      </c>
      <c r="F18" s="7" t="s">
        <v>119</v>
      </c>
    </row>
    <row r="19" spans="1:6" ht="37.5" x14ac:dyDescent="0.35">
      <c r="A19" s="3" t="s">
        <v>18</v>
      </c>
      <c r="B19" s="5">
        <v>58000</v>
      </c>
      <c r="C19" s="6">
        <v>107</v>
      </c>
      <c r="D19" s="41" t="s">
        <v>66</v>
      </c>
      <c r="E19" s="2" t="s">
        <v>120</v>
      </c>
      <c r="F19" s="2" t="s">
        <v>121</v>
      </c>
    </row>
    <row r="20" spans="1:6" ht="50" x14ac:dyDescent="0.35">
      <c r="A20" s="8" t="s">
        <v>28</v>
      </c>
      <c r="B20" s="10">
        <v>53000</v>
      </c>
      <c r="C20" s="11">
        <v>92</v>
      </c>
      <c r="D20" s="41" t="s">
        <v>66</v>
      </c>
      <c r="E20" s="7" t="s">
        <v>122</v>
      </c>
      <c r="F20" s="7" t="s">
        <v>123</v>
      </c>
    </row>
    <row r="21" spans="1:6" ht="37.5" x14ac:dyDescent="0.35">
      <c r="A21" s="3" t="s">
        <v>20</v>
      </c>
      <c r="B21" s="5">
        <v>41000</v>
      </c>
      <c r="C21" s="6">
        <v>152</v>
      </c>
      <c r="D21" s="41" t="s">
        <v>66</v>
      </c>
      <c r="E21" s="2" t="s">
        <v>124</v>
      </c>
      <c r="F21" s="2" t="s">
        <v>125</v>
      </c>
    </row>
    <row r="22" spans="1:6" ht="37.5" x14ac:dyDescent="0.35">
      <c r="A22" s="8" t="s">
        <v>32</v>
      </c>
      <c r="B22" s="10">
        <v>89000</v>
      </c>
      <c r="C22" s="11">
        <v>12</v>
      </c>
      <c r="D22" s="7" t="s">
        <v>58</v>
      </c>
      <c r="E22" s="7" t="s">
        <v>126</v>
      </c>
      <c r="F22" s="7" t="s">
        <v>121</v>
      </c>
    </row>
  </sheetData>
  <mergeCells count="3">
    <mergeCell ref="A1:F1"/>
    <mergeCell ref="A4:F4"/>
    <mergeCell ref="A16:F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 Data</vt:lpstr>
      <vt:lpstr>Aging Analysis</vt:lpstr>
      <vt:lpstr>Customer Ledger</vt:lpstr>
      <vt:lpstr>MIS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adilwali7435@outlook.com</cp:lastModifiedBy>
  <cp:revision>0</cp:revision>
  <dcterms:created xsi:type="dcterms:W3CDTF">2026-03-30T12:49:32Z</dcterms:created>
  <dcterms:modified xsi:type="dcterms:W3CDTF">2026-04-01T05:02:04Z</dcterms:modified>
  <dc:language>en-US</dc:language>
</cp:coreProperties>
</file>